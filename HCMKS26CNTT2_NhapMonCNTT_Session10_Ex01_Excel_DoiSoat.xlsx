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oDich" sheetId="1" state="visible" r:id="rId1"/>
    <sheet xmlns:r="http://schemas.openxmlformats.org/officeDocument/2006/relationships" name="TraCuuNguoiDung" sheetId="2" state="visible" r:id="rId2"/>
    <sheet xmlns:r="http://schemas.openxmlformats.org/officeDocument/2006/relationships" name="PhiNganHang" sheetId="3" state="visible" r:id="rId3"/>
    <sheet xmlns:r="http://schemas.openxmlformats.org/officeDocument/2006/relationships" name="HuongDan" sheetId="4" state="visible" r:id="rId4"/>
  </sheets>
  <definedNames>
    <definedName name="_xlnm._FilterDatabase" localSheetId="0" hidden="1">'GiaoDich'!$A$1:$J$13</definedName>
    <definedName name="_xlnm._FilterDatabase" localSheetId="1" hidden="1">'TraCuuNguoiDung'!$A$1:$C$9</definedName>
    <definedName name="_xlnm._FilterDatabase" localSheetId="2" hidden="1">'PhiNganHang'!$A$1:$D$6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2F75B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angGiaoDich" displayName="BangGiaoDich" ref="A1:J13" headerRowCount="1">
  <autoFilter ref="A1:J13"/>
  <tableColumns count="10">
    <tableColumn id="1" name="MaGiaoDich"/>
    <tableColumn id="2" name="NgayGiaoDich"/>
    <tableColumn id="3" name="MaNguoiDung"/>
    <tableColumn id="4" name="TenNguoiDung"/>
    <tableColumn id="5" name="DichVu"/>
    <tableColumn id="6" name="SoTienGoc_VND"/>
    <tableColumn id="7" name="PhiDoiTac_VND"/>
    <tableColumn id="8" name="SoTienThuc_VND"/>
    <tableColumn id="9" name="TrangThai"/>
    <tableColumn id="10" name="MaNguoiDung_Chu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gNguoiDung" displayName="BangNguoiDung" ref="A1:C9" headerRowCount="1">
  <autoFilter ref="A1:C9"/>
  <tableColumns count="3">
    <tableColumn id="1" name="MaNguoiDung"/>
    <tableColumn id="2" name="TenNguoiDung"/>
    <tableColumn id="3" name="TenNguoiDung_Go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ngPhiDoiTac" displayName="BangPhiDoiTac" ref="A1:D6" headerRowCount="1">
  <autoFilter ref="A1:D6"/>
  <tableColumns count="4">
    <tableColumn id="1" name="DichVu"/>
    <tableColumn id="2" name="MaDoiTac"/>
    <tableColumn id="3" name="PhiMacDinh_VND"/>
    <tableColumn id="4" name="GhiCh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  <col width="16" customWidth="1" min="9" max="9"/>
    <col width="20" customWidth="1" min="10" max="10"/>
  </cols>
  <sheetData>
    <row r="1" ht="32" customHeight="1">
      <c r="A1" s="1" t="inlineStr">
        <is>
          <t>MaGiaoDich</t>
        </is>
      </c>
      <c r="B1" s="1" t="inlineStr">
        <is>
          <t>NgayGiaoDich</t>
        </is>
      </c>
      <c r="C1" s="1" t="inlineStr">
        <is>
          <t>MaNguoiDung</t>
        </is>
      </c>
      <c r="D1" s="1" t="inlineStr">
        <is>
          <t>TenNguoiDung</t>
        </is>
      </c>
      <c r="E1" s="1" t="inlineStr">
        <is>
          <t>DichVu</t>
        </is>
      </c>
      <c r="F1" s="1" t="inlineStr">
        <is>
          <t>SoTienGoc_VND</t>
        </is>
      </c>
      <c r="G1" s="1" t="inlineStr">
        <is>
          <t>PhiDoiTac_VND</t>
        </is>
      </c>
      <c r="H1" s="1" t="inlineStr">
        <is>
          <t>SoTienThuc_VND</t>
        </is>
      </c>
      <c r="I1" s="1" t="inlineStr">
        <is>
          <t>TrangThai</t>
        </is>
      </c>
      <c r="J1" s="1" t="inlineStr">
        <is>
          <t>MaNguoiDung_Chuan</t>
        </is>
      </c>
    </row>
    <row r="2">
      <c r="A2" s="2" t="inlineStr">
        <is>
          <t>TX1001</t>
        </is>
      </c>
      <c r="B2" s="2" t="inlineStr">
        <is>
          <t>2026-10-01</t>
        </is>
      </c>
      <c r="C2" s="2" t="inlineStr">
        <is>
          <t>U001</t>
        </is>
      </c>
      <c r="D2" s="2">
        <f>IFERROR(VLOOKUP(J2,TraCuuNguoiDung!$A$2:$B$9,2,FALSE),"Không tìm thấy")</f>
        <v/>
      </c>
      <c r="E2" s="2" t="inlineStr">
        <is>
          <t>Nạp điện thoại</t>
        </is>
      </c>
      <c r="F2" s="3" t="n">
        <v>200000</v>
      </c>
      <c r="G2" s="3" t="n">
        <v>1000</v>
      </c>
      <c r="H2" s="3">
        <f>F2-G2</f>
        <v/>
      </c>
      <c r="I2" s="2" t="inlineStr">
        <is>
          <t>Thành công</t>
        </is>
      </c>
      <c r="J2" s="2">
        <f>TRIM(C2)</f>
        <v/>
      </c>
    </row>
    <row r="3">
      <c r="A3" s="2" t="inlineStr">
        <is>
          <t>TX1002</t>
        </is>
      </c>
      <c r="B3" s="2" t="inlineStr">
        <is>
          <t>2026-10-02</t>
        </is>
      </c>
      <c r="C3" s="2" t="inlineStr">
        <is>
          <t>U002</t>
        </is>
      </c>
      <c r="D3" s="2">
        <f>IFERROR(VLOOKUP(J3,TraCuuNguoiDung!$A$2:$B$9,2,FALSE),"Không tìm thấy")</f>
        <v/>
      </c>
      <c r="E3" s="2" t="inlineStr">
        <is>
          <t>Thanh toán học phí</t>
        </is>
      </c>
      <c r="F3" s="3" t="n">
        <v>1500000</v>
      </c>
      <c r="G3" s="3" t="n">
        <v>3000</v>
      </c>
      <c r="H3" s="3">
        <f>F3-G3</f>
        <v/>
      </c>
      <c r="I3" s="2" t="inlineStr">
        <is>
          <t>Thành công</t>
        </is>
      </c>
      <c r="J3" s="2">
        <f>TRIM(C3)</f>
        <v/>
      </c>
    </row>
    <row r="4">
      <c r="A4" s="2" t="inlineStr">
        <is>
          <t>TX1003</t>
        </is>
      </c>
      <c r="B4" s="2" t="inlineStr">
        <is>
          <t>2026-10-03</t>
        </is>
      </c>
      <c r="C4" s="2" t="inlineStr">
        <is>
          <t xml:space="preserve"> U003 </t>
        </is>
      </c>
      <c r="D4" s="2">
        <f>IFERROR(VLOOKUP(J4,TraCuuNguoiDung!$A$2:$B$9,2,FALSE),"Không tìm thấy")</f>
        <v/>
      </c>
      <c r="E4" s="2" t="inlineStr">
        <is>
          <t>Mua vé xe buýt</t>
        </is>
      </c>
      <c r="F4" s="3" t="n">
        <v>80000</v>
      </c>
      <c r="G4" s="3" t="n">
        <v>500</v>
      </c>
      <c r="H4" s="3">
        <f>F4-G4</f>
        <v/>
      </c>
      <c r="I4" s="2" t="inlineStr">
        <is>
          <t>Thành công</t>
        </is>
      </c>
      <c r="J4" s="2">
        <f>TRIM(C4)</f>
        <v/>
      </c>
    </row>
    <row r="5">
      <c r="A5" s="2" t="inlineStr">
        <is>
          <t>TX1004</t>
        </is>
      </c>
      <c r="B5" s="2" t="inlineStr">
        <is>
          <t>2026-10-04</t>
        </is>
      </c>
      <c r="C5" s="2" t="inlineStr">
        <is>
          <t>U004</t>
        </is>
      </c>
      <c r="D5" s="2">
        <f>IFERROR(VLOOKUP(J5,TraCuuNguoiDung!$A$2:$B$9,2,FALSE),"Không tìm thấy")</f>
        <v/>
      </c>
      <c r="E5" s="2" t="inlineStr">
        <is>
          <t>Nạp điện thoại</t>
        </is>
      </c>
      <c r="F5" s="3" t="n">
        <v>100000</v>
      </c>
      <c r="G5" s="3" t="n">
        <v>1000</v>
      </c>
      <c r="H5" s="3">
        <f>F5-G5</f>
        <v/>
      </c>
      <c r="I5" s="2" t="inlineStr">
        <is>
          <t>Thành công</t>
        </is>
      </c>
      <c r="J5" s="2">
        <f>TRIM(C5)</f>
        <v/>
      </c>
    </row>
    <row r="6">
      <c r="A6" s="2" t="inlineStr">
        <is>
          <t>TX1005</t>
        </is>
      </c>
      <c r="B6" s="2" t="inlineStr">
        <is>
          <t>2026-10-05</t>
        </is>
      </c>
      <c r="C6" s="2" t="inlineStr">
        <is>
          <t>U005</t>
        </is>
      </c>
      <c r="D6" s="2">
        <f>IFERROR(VLOOKUP(J6,TraCuuNguoiDung!$A$2:$B$9,2,FALSE),"Không tìm thấy")</f>
        <v/>
      </c>
      <c r="E6" s="2" t="inlineStr">
        <is>
          <t>Thanh toán căng tin</t>
        </is>
      </c>
      <c r="F6" s="3" t="n">
        <v>65000</v>
      </c>
      <c r="G6" s="3" t="n">
        <v>300</v>
      </c>
      <c r="H6" s="3">
        <f>F6-G6</f>
        <v/>
      </c>
      <c r="I6" s="2" t="inlineStr">
        <is>
          <t>Thành công</t>
        </is>
      </c>
      <c r="J6" s="2">
        <f>TRIM(C6)</f>
        <v/>
      </c>
    </row>
    <row r="7">
      <c r="A7" s="2" t="inlineStr">
        <is>
          <t>TX1006</t>
        </is>
      </c>
      <c r="B7" s="2" t="inlineStr">
        <is>
          <t>2026-10-06</t>
        </is>
      </c>
      <c r="C7" s="2" t="inlineStr">
        <is>
          <t>U006</t>
        </is>
      </c>
      <c r="D7" s="2">
        <f>IFERROR(VLOOKUP(J7,TraCuuNguoiDung!$A$2:$B$9,2,FALSE),"Không tìm thấy")</f>
        <v/>
      </c>
      <c r="E7" s="2" t="inlineStr">
        <is>
          <t>Mua vé sự kiện</t>
        </is>
      </c>
      <c r="F7" s="3" t="n">
        <v>120000</v>
      </c>
      <c r="G7" s="3" t="n">
        <v>800</v>
      </c>
      <c r="H7" s="3">
        <f>F7-G7</f>
        <v/>
      </c>
      <c r="I7" s="2" t="inlineStr">
        <is>
          <t>Đang xử lý</t>
        </is>
      </c>
      <c r="J7" s="2">
        <f>TRIM(C7)</f>
        <v/>
      </c>
    </row>
    <row r="8">
      <c r="A8" s="2" t="inlineStr">
        <is>
          <t>TX1007</t>
        </is>
      </c>
      <c r="B8" s="2" t="inlineStr">
        <is>
          <t>2026-10-07</t>
        </is>
      </c>
      <c r="C8" s="2" t="inlineStr">
        <is>
          <t>U007</t>
        </is>
      </c>
      <c r="D8" s="2">
        <f>IFERROR(VLOOKUP(J8,TraCuuNguoiDung!$A$2:$B$9,2,FALSE),"Không tìm thấy")</f>
        <v/>
      </c>
      <c r="E8" s="2" t="inlineStr">
        <is>
          <t>Nạp điện thoại</t>
        </is>
      </c>
      <c r="F8" s="3" t="n">
        <v>50000</v>
      </c>
      <c r="G8" s="3" t="n">
        <v>500</v>
      </c>
      <c r="H8" s="3">
        <f>F8-G8</f>
        <v/>
      </c>
      <c r="I8" s="2" t="inlineStr">
        <is>
          <t>Thành công</t>
        </is>
      </c>
      <c r="J8" s="2">
        <f>TRIM(C8)</f>
        <v/>
      </c>
    </row>
    <row r="9">
      <c r="A9" s="2" t="inlineStr">
        <is>
          <t>TX1008</t>
        </is>
      </c>
      <c r="B9" s="2" t="inlineStr">
        <is>
          <t>2026-10-08</t>
        </is>
      </c>
      <c r="C9" s="2" t="inlineStr">
        <is>
          <t>U008</t>
        </is>
      </c>
      <c r="D9" s="2">
        <f>IFERROR(VLOOKUP(J9,TraCuuNguoiDung!$A$2:$B$9,2,FALSE),"Không tìm thấy")</f>
        <v/>
      </c>
      <c r="E9" s="2" t="inlineStr">
        <is>
          <t>Thanh toán học phí</t>
        </is>
      </c>
      <c r="F9" s="3" t="n">
        <v>900000</v>
      </c>
      <c r="G9" s="3" t="n">
        <v>2500</v>
      </c>
      <c r="H9" s="3">
        <f>F9-G9</f>
        <v/>
      </c>
      <c r="I9" s="2" t="inlineStr">
        <is>
          <t>Thành công</t>
        </is>
      </c>
      <c r="J9" s="2">
        <f>TRIM(C9)</f>
        <v/>
      </c>
    </row>
    <row r="10">
      <c r="A10" s="2" t="inlineStr">
        <is>
          <t>TX1009</t>
        </is>
      </c>
      <c r="B10" s="2" t="inlineStr">
        <is>
          <t>2026-10-09</t>
        </is>
      </c>
      <c r="C10" s="2" t="inlineStr">
        <is>
          <t>U001</t>
        </is>
      </c>
      <c r="D10" s="2">
        <f>IFERROR(VLOOKUP(J10,TraCuuNguoiDung!$A$2:$B$9,2,FALSE),"Không tìm thấy")</f>
        <v/>
      </c>
      <c r="E10" s="2" t="inlineStr">
        <is>
          <t>Mua vé xe buýt</t>
        </is>
      </c>
      <c r="F10" s="3" t="n">
        <v>40000</v>
      </c>
      <c r="G10" s="3" t="n">
        <v>300</v>
      </c>
      <c r="H10" s="3">
        <f>F10-G10</f>
        <v/>
      </c>
      <c r="I10" s="2" t="inlineStr">
        <is>
          <t>Thành công</t>
        </is>
      </c>
      <c r="J10" s="2">
        <f>TRIM(C10)</f>
        <v/>
      </c>
    </row>
    <row r="11">
      <c r="A11" s="2" t="inlineStr">
        <is>
          <t>TX1010</t>
        </is>
      </c>
      <c r="B11" s="2" t="inlineStr">
        <is>
          <t>2026-10-10</t>
        </is>
      </c>
      <c r="C11" s="2" t="inlineStr">
        <is>
          <t>U003</t>
        </is>
      </c>
      <c r="D11" s="2">
        <f>IFERROR(VLOOKUP(J11,TraCuuNguoiDung!$A$2:$B$9,2,FALSE),"Không tìm thấy")</f>
        <v/>
      </c>
      <c r="E11" s="2" t="inlineStr">
        <is>
          <t>Thanh toán căng tin</t>
        </is>
      </c>
      <c r="F11" s="3" t="n">
        <v>72000</v>
      </c>
      <c r="G11" s="3" t="n">
        <v>300</v>
      </c>
      <c r="H11" s="3">
        <f>F11-G11</f>
        <v/>
      </c>
      <c r="I11" s="2" t="inlineStr">
        <is>
          <t>Thành công</t>
        </is>
      </c>
      <c r="J11" s="2">
        <f>TRIM(C11)</f>
        <v/>
      </c>
    </row>
    <row r="12">
      <c r="A12" s="2" t="inlineStr">
        <is>
          <t>TX1011</t>
        </is>
      </c>
      <c r="B12" s="2" t="inlineStr">
        <is>
          <t>2026-10-11</t>
        </is>
      </c>
      <c r="C12" s="2" t="inlineStr">
        <is>
          <t>U004</t>
        </is>
      </c>
      <c r="D12" s="2">
        <f>IFERROR(VLOOKUP(J12,TraCuuNguoiDung!$A$2:$B$9,2,FALSE),"Không tìm thấy")</f>
        <v/>
      </c>
      <c r="E12" s="2" t="inlineStr">
        <is>
          <t>Nạp điện thoại</t>
        </is>
      </c>
      <c r="F12" s="3" t="n">
        <v>200000</v>
      </c>
      <c r="G12" s="3" t="n">
        <v>1000</v>
      </c>
      <c r="H12" s="3">
        <f>F12-G12</f>
        <v/>
      </c>
      <c r="I12" s="2" t="inlineStr">
        <is>
          <t>Thành công</t>
        </is>
      </c>
      <c r="J12" s="2">
        <f>TRIM(C12)</f>
        <v/>
      </c>
    </row>
    <row r="13">
      <c r="A13" s="2" t="inlineStr">
        <is>
          <t>TX1012</t>
        </is>
      </c>
      <c r="B13" s="2" t="inlineStr">
        <is>
          <t>2026-10-12</t>
        </is>
      </c>
      <c r="C13" s="2" t="inlineStr">
        <is>
          <t>U005</t>
        </is>
      </c>
      <c r="D13" s="2">
        <f>IFERROR(VLOOKUP(J13,TraCuuNguoiDung!$A$2:$B$9,2,FALSE),"Không tìm thấy")</f>
        <v/>
      </c>
      <c r="E13" s="2" t="inlineStr">
        <is>
          <t>Mua vé sự kiện</t>
        </is>
      </c>
      <c r="F13" s="3" t="n">
        <v>180000</v>
      </c>
      <c r="G13" s="3" t="n">
        <v>800</v>
      </c>
      <c r="H13" s="3">
        <f>F13-G13</f>
        <v/>
      </c>
      <c r="I13" s="2" t="inlineStr">
        <is>
          <t>Thất bại</t>
        </is>
      </c>
      <c r="J13" s="2">
        <f>TRIM(C13)</f>
        <v/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</cols>
  <sheetData>
    <row r="1" ht="32" customHeight="1">
      <c r="A1" s="1" t="inlineStr">
        <is>
          <t>MaNguoiDung</t>
        </is>
      </c>
      <c r="B1" s="1" t="inlineStr">
        <is>
          <t>TenNguoiDung</t>
        </is>
      </c>
      <c r="C1" s="1" t="inlineStr">
        <is>
          <t>TenNguoiDung_Goc</t>
        </is>
      </c>
    </row>
    <row r="2">
      <c r="A2" s="2" t="inlineStr">
        <is>
          <t>U001</t>
        </is>
      </c>
      <c r="B2" s="2">
        <f>TRIM(C2)</f>
        <v/>
      </c>
      <c r="C2" s="2" t="inlineStr">
        <is>
          <t xml:space="preserve"> Nguyễn Minh Anh </t>
        </is>
      </c>
    </row>
    <row r="3">
      <c r="A3" s="2" t="inlineStr">
        <is>
          <t>U002</t>
        </is>
      </c>
      <c r="B3" s="2">
        <f>TRIM(C3)</f>
        <v/>
      </c>
      <c r="C3" s="2" t="inlineStr">
        <is>
          <t>Trần Gia Huy</t>
        </is>
      </c>
    </row>
    <row r="4">
      <c r="A4" s="2" t="inlineStr">
        <is>
          <t>U003</t>
        </is>
      </c>
      <c r="B4" s="2">
        <f>TRIM(C4)</f>
        <v/>
      </c>
      <c r="C4" s="2" t="inlineStr">
        <is>
          <t xml:space="preserve">  Lê Khánh Linh</t>
        </is>
      </c>
    </row>
    <row r="5">
      <c r="A5" s="2" t="inlineStr">
        <is>
          <t>U004</t>
        </is>
      </c>
      <c r="B5" s="2">
        <f>TRIM(C5)</f>
        <v/>
      </c>
      <c r="C5" s="2" t="inlineStr">
        <is>
          <t xml:space="preserve">Phạm Quốc Bảo </t>
        </is>
      </c>
    </row>
    <row r="6">
      <c r="A6" s="2" t="inlineStr">
        <is>
          <t>U005</t>
        </is>
      </c>
      <c r="B6" s="2">
        <f>TRIM(C6)</f>
        <v/>
      </c>
      <c r="C6" s="2" t="inlineStr">
        <is>
          <t xml:space="preserve"> Võ Ngọc Hà </t>
        </is>
      </c>
    </row>
    <row r="7">
      <c r="A7" s="2" t="inlineStr">
        <is>
          <t>U006</t>
        </is>
      </c>
      <c r="B7" s="2">
        <f>TRIM(C7)</f>
        <v/>
      </c>
      <c r="C7" s="2" t="inlineStr">
        <is>
          <t>Đặng Tuấn Kiệt</t>
        </is>
      </c>
    </row>
    <row r="8">
      <c r="A8" s="2" t="inlineStr">
        <is>
          <t>U007</t>
        </is>
      </c>
      <c r="B8" s="2">
        <f>TRIM(C8)</f>
        <v/>
      </c>
      <c r="C8" s="2" t="inlineStr">
        <is>
          <t xml:space="preserve"> Bùi Thảo My</t>
        </is>
      </c>
    </row>
    <row r="9">
      <c r="A9" s="2" t="inlineStr">
        <is>
          <t>U008</t>
        </is>
      </c>
      <c r="B9" s="2">
        <f>TRIM(C9)</f>
        <v/>
      </c>
      <c r="C9" s="2" t="inlineStr">
        <is>
          <t xml:space="preserve">Hoàng Đức Long 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32" customWidth="1" min="4" max="4"/>
  </cols>
  <sheetData>
    <row r="1" ht="32" customHeight="1">
      <c r="A1" s="1" t="inlineStr">
        <is>
          <t>DichVu</t>
        </is>
      </c>
      <c r="B1" s="1" t="inlineStr">
        <is>
          <t>MaDoiTac</t>
        </is>
      </c>
      <c r="C1" s="1" t="inlineStr">
        <is>
          <t>PhiMacDinh_VND</t>
        </is>
      </c>
      <c r="D1" s="1" t="inlineStr">
        <is>
          <t>GhiChu</t>
        </is>
      </c>
    </row>
    <row r="2">
      <c r="A2" s="2" t="inlineStr">
        <is>
          <t>Nạp điện thoại</t>
        </is>
      </c>
      <c r="B2" s="2" t="inlineStr">
        <is>
          <t>BANK-A</t>
        </is>
      </c>
      <c r="C2" s="3" t="n">
        <v>1000</v>
      </c>
      <c r="D2" s="2" t="inlineStr">
        <is>
          <t>Phí cố định mỗi giao dịch</t>
        </is>
      </c>
    </row>
    <row r="3">
      <c r="A3" s="2" t="inlineStr">
        <is>
          <t>Thanh toán học phí</t>
        </is>
      </c>
      <c r="B3" s="2" t="inlineStr">
        <is>
          <t>BANK-A</t>
        </is>
      </c>
      <c r="C3" s="3" t="n">
        <v>3000</v>
      </c>
      <c r="D3" s="2" t="inlineStr">
        <is>
          <t>Phí cố định mỗi giao dịch</t>
        </is>
      </c>
    </row>
    <row r="4">
      <c r="A4" s="2" t="inlineStr">
        <is>
          <t>Mua vé xe buýt</t>
        </is>
      </c>
      <c r="B4" s="2" t="inlineStr">
        <is>
          <t>BANK-B</t>
        </is>
      </c>
      <c r="C4" s="3" t="n">
        <v>500</v>
      </c>
      <c r="D4" s="2" t="inlineStr">
        <is>
          <t>Phí cố định mỗi giao dịch</t>
        </is>
      </c>
    </row>
    <row r="5">
      <c r="A5" s="2" t="inlineStr">
        <is>
          <t>Thanh toán căng tin</t>
        </is>
      </c>
      <c r="B5" s="2" t="inlineStr">
        <is>
          <t>BANK-B</t>
        </is>
      </c>
      <c r="C5" s="3" t="n">
        <v>300</v>
      </c>
      <c r="D5" s="2" t="inlineStr">
        <is>
          <t>Phí cố định mỗi giao dịch</t>
        </is>
      </c>
    </row>
    <row r="6">
      <c r="A6" s="2" t="inlineStr">
        <is>
          <t>Mua vé sự kiện</t>
        </is>
      </c>
      <c r="B6" s="2" t="inlineStr">
        <is>
          <t>BANK-C</t>
        </is>
      </c>
      <c r="C6" s="3" t="n">
        <v>800</v>
      </c>
      <c r="D6" s="2" t="inlineStr">
        <is>
          <t>Phí cố định mỗi giao dịch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HƯỚNG DẪN SỬ DỤNG – PAYKX</t>
        </is>
      </c>
    </row>
    <row r="2">
      <c r="A2" s="5" t="n"/>
    </row>
    <row r="3">
      <c r="A3" s="6" t="inlineStr">
        <is>
          <t>Phần 1 – Record và Field</t>
        </is>
      </c>
    </row>
    <row r="4" ht="30" customHeight="1">
      <c r="A4" s="5" t="inlineStr">
        <is>
          <t>Record (bản ghi): một hàng dữ liệu đại diện cho một giao dịch, ví dụ TX1001.</t>
        </is>
      </c>
    </row>
    <row r="5" ht="30" customHeight="1">
      <c r="A5" s="5" t="inlineStr">
        <is>
          <t>Field (trường): một cột mô tả thuộc tính của giao dịch, ví dụ MaGiaoDich, MaNguoiDung, SoTienGoc_VND.</t>
        </is>
      </c>
    </row>
    <row r="6">
      <c r="A6" s="5" t="n"/>
    </row>
    <row r="7">
      <c r="A7" s="6" t="inlineStr">
        <is>
          <t>Phần 2 – Công thức chính</t>
        </is>
      </c>
    </row>
    <row r="8">
      <c r="A8" s="5" t="inlineStr">
        <is>
          <t>Chuẩn hóa mã người dùng: =TRIM(C2)</t>
        </is>
      </c>
    </row>
    <row r="9">
      <c r="A9" s="5" t="inlineStr">
        <is>
          <t>Tra cứu tên chính xác: =IFERROR(VLOOKUP(J2,TraCuuNguoiDung!$A$2:$B$9,2,FALSE),"Không tìm thấy")</t>
        </is>
      </c>
    </row>
    <row r="10">
      <c r="A10" s="5" t="inlineStr">
        <is>
          <t>FALSE yêu cầu khớp chính xác. IFERROR giúp hiển thị thông báo thay vì lỗi #N/A.</t>
        </is>
      </c>
    </row>
    <row r="11">
      <c r="A11" s="5" t="n"/>
    </row>
    <row r="12">
      <c r="A12" s="6" t="inlineStr">
        <is>
          <t>Phần 3 – Quy tắc Database</t>
        </is>
      </c>
    </row>
    <row r="13">
      <c r="A13" s="5" t="inlineStr">
        <is>
          <t>Không Merge Cell trong vùng dữ liệu; mỗi cột chỉ chứa một loại thông tin; không để hàng trống giữa các bản ghi.</t>
        </is>
      </c>
    </row>
    <row r="14">
      <c r="A14" s="5" t="inlineStr">
        <is>
          <t>Mã giao dịch cần duy nhất; ngày ở định dạng ngày; số tiền lưu dạng số; lọc dữ liệu bằng AutoFilter.</t>
        </is>
      </c>
    </row>
    <row r="15">
      <c r="A15" s="5" t="n"/>
    </row>
    <row r="16" ht="48" customHeight="1">
      <c r="A16" s="5" t="inlineStr">
        <is>
          <t>Phần 4 – Kiểm thử lỗi #N/A: (1) kiểm tra mã có tồn tại; (2) dùng TRIM bỏ khoảng trắng; (3) kiểm tra vùng tra cứu và cột trả về; (4) kiểm tra kiểu dữ liệu, ký tự ẩn và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2026-10-26T16:29:00Z</dcterms:created>
  <dcterms:modified xmlns:dcterms="http://purl.org/dc/terms/" xmlns:xsi="http://www.w3.org/2001/XMLSchema-instance" xsi:type="dcterms:W3CDTF">2026-10-26T16:29:00Z</dcterms:modified>
</cp:coreProperties>
</file>